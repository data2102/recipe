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재료사전" sheetId="1" state="visible" r:id="rId3"/>
    <sheet name="단위표기" sheetId="2" state="visible" r:id="rId4"/>
    <sheet name="요약" sheetId="3" state="visible" r:id="rId5"/>
    <sheet name="AI원가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<sst xmlns="http://schemas.openxmlformats.org/spreadsheetml/2006/main" count="367" uniqueCount="183">
  <si>
    <t xml:space="preserve">표기 원문</t>
  </si>
  <si>
    <t xml:space="preserve">표준명</t>
  </si>
  <si>
    <t xml:space="preserve">카테고리</t>
  </si>
  <si>
    <t xml:space="preserve">대체가능군</t>
  </si>
  <si>
    <t xml:space="preserve">유형</t>
  </si>
  <si>
    <t xml:space="preserve">비고</t>
  </si>
  <si>
    <t xml:space="preserve">고춧가루</t>
  </si>
  <si>
    <t xml:space="preserve">양념</t>
  </si>
  <si>
    <t xml:space="preserve">-</t>
  </si>
  <si>
    <t xml:space="preserve">정상</t>
  </si>
  <si>
    <t xml:space="preserve">고추가루</t>
  </si>
  <si>
    <t xml:space="preserve">오탈자</t>
  </si>
  <si>
    <t xml:space="preserve">맞춤법 오류</t>
  </si>
  <si>
    <t xml:space="preserve">고추가룻</t>
  </si>
  <si>
    <t xml:space="preserve">오타</t>
  </si>
  <si>
    <t xml:space="preserve">다진마늘</t>
  </si>
  <si>
    <t xml:space="preserve">마늘</t>
  </si>
  <si>
    <t xml:space="preserve">다진 마늘</t>
  </si>
  <si>
    <t xml:space="preserve">띄어쓰기</t>
  </si>
  <si>
    <t xml:space="preserve">공백 차이</t>
  </si>
  <si>
    <t xml:space="preserve">간장</t>
  </si>
  <si>
    <t xml:space="preserve">진간장</t>
  </si>
  <si>
    <t xml:space="preserve">모호</t>
  </si>
  <si>
    <t xml:space="preserve">어떤 간장인지 불명 - 확인 필요</t>
  </si>
  <si>
    <t xml:space="preserve">국간장</t>
  </si>
  <si>
    <t xml:space="preserve">진간장과 대체 불가</t>
  </si>
  <si>
    <t xml:space="preserve">된장</t>
  </si>
  <si>
    <t xml:space="preserve">토장</t>
  </si>
  <si>
    <t xml:space="preserve">별칭</t>
  </si>
  <si>
    <t xml:space="preserve">본문에 토장(된장)으로 병기</t>
  </si>
  <si>
    <t xml:space="preserve">액젓</t>
  </si>
  <si>
    <t xml:space="preserve">멸치액젓</t>
  </si>
  <si>
    <t xml:space="preserve">까나리액젓</t>
  </si>
  <si>
    <t xml:space="preserve">상위어</t>
  </si>
  <si>
    <t xml:space="preserve">종류 미지정</t>
  </si>
  <si>
    <t xml:space="preserve">참치액</t>
  </si>
  <si>
    <t xml:space="preserve">맛소금</t>
  </si>
  <si>
    <t xml:space="preserve">소금</t>
  </si>
  <si>
    <t xml:space="preserve">깨소금</t>
  </si>
  <si>
    <t xml:space="preserve">깨</t>
  </si>
  <si>
    <t xml:space="preserve">설탕</t>
  </si>
  <si>
    <t xml:space="preserve">올리고당/알룰로스</t>
  </si>
  <si>
    <t xml:space="preserve">올리고당</t>
  </si>
  <si>
    <t xml:space="preserve">설탕/알룰로스</t>
  </si>
  <si>
    <t xml:space="preserve">알룰로스</t>
  </si>
  <si>
    <t xml:space="preserve">설탕/올리고당</t>
  </si>
  <si>
    <t xml:space="preserve">굴소스</t>
  </si>
  <si>
    <t xml:space="preserve">고추장</t>
  </si>
  <si>
    <t xml:space="preserve">식초</t>
  </si>
  <si>
    <t xml:space="preserve">맛술</t>
  </si>
  <si>
    <t xml:space="preserve">참기름</t>
  </si>
  <si>
    <t xml:space="preserve">연겨자</t>
  </si>
  <si>
    <t xml:space="preserve">후추</t>
  </si>
  <si>
    <t xml:space="preserve">삼겹살</t>
  </si>
  <si>
    <t xml:space="preserve">육류</t>
  </si>
  <si>
    <t xml:space="preserve">돼지고기</t>
  </si>
  <si>
    <t xml:space="preserve">하위어</t>
  </si>
  <si>
    <t xml:space="preserve">돼지고기의 부위</t>
  </si>
  <si>
    <t xml:space="preserve">항정살</t>
  </si>
  <si>
    <t xml:space="preserve">부위 미지정</t>
  </si>
  <si>
    <t xml:space="preserve">부채살</t>
  </si>
  <si>
    <t xml:space="preserve">소고기</t>
  </si>
  <si>
    <t xml:space="preserve">본문에서는 소고기로 지칭 - 불일치</t>
  </si>
  <si>
    <t xml:space="preserve">우삼겹</t>
  </si>
  <si>
    <t xml:space="preserve">소고기의 부위</t>
  </si>
  <si>
    <t xml:space="preserve">닭다리</t>
  </si>
  <si>
    <t xml:space="preserve">닭</t>
  </si>
  <si>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속성은 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본문은 닭다리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불일치</t>
    </r>
  </si>
  <si>
    <t xml:space="preserve">리챔</t>
  </si>
  <si>
    <t xml:space="preserve">런천미트</t>
  </si>
  <si>
    <t xml:space="preserve">가공식품</t>
  </si>
  <si>
    <t xml:space="preserve">스팸</t>
  </si>
  <si>
    <t xml:space="preserve">브랜드명</t>
  </si>
  <si>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속성은 스팸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본문은 리챔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불일치</t>
    </r>
  </si>
  <si>
    <t xml:space="preserve">대파</t>
  </si>
  <si>
    <t xml:space="preserve">채소</t>
  </si>
  <si>
    <t xml:space="preserve">쪽파/실파와 구분 필요</t>
  </si>
  <si>
    <t xml:space="preserve">양파</t>
  </si>
  <si>
    <t xml:space="preserve">애호박</t>
  </si>
  <si>
    <t xml:space="preserve">감자</t>
  </si>
  <si>
    <t xml:space="preserve">무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</si>
  <si>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글자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문자열 매칭 시 오탐 위험</t>
    </r>
  </si>
  <si>
    <t xml:space="preserve">청양고추</t>
  </si>
  <si>
    <t xml:space="preserve">부추</t>
  </si>
  <si>
    <t xml:space="preserve">콩나물</t>
  </si>
  <si>
    <t xml:space="preserve">숙주</t>
  </si>
  <si>
    <t xml:space="preserve">팽이버섯</t>
  </si>
  <si>
    <t xml:space="preserve">김치</t>
  </si>
  <si>
    <t xml:space="preserve">저장식품</t>
  </si>
  <si>
    <t xml:space="preserve">묵은지</t>
  </si>
  <si>
    <t xml:space="preserve">묵은지 여부는 별도 속성</t>
  </si>
  <si>
    <t xml:space="preserve">두부</t>
  </si>
  <si>
    <t xml:space="preserve">순두부와 구분 필요</t>
  </si>
  <si>
    <t xml:space="preserve">쌀뜨물</t>
  </si>
  <si>
    <t xml:space="preserve">기타</t>
  </si>
  <si>
    <t xml:space="preserve">물</t>
  </si>
  <si>
    <t xml:space="preserve">조리부산물</t>
  </si>
  <si>
    <t xml:space="preserve">구매 대상 아님 - 장보기 제외</t>
  </si>
  <si>
    <t xml:space="preserve">비구매</t>
  </si>
  <si>
    <t xml:space="preserve">장보기 목록 제외 대상</t>
  </si>
  <si>
    <t xml:space="preserve">해석</t>
  </si>
  <si>
    <t xml:space="preserve">표준화</t>
  </si>
  <si>
    <r>
      <rPr>
        <sz val="10"/>
        <rFont val="Arial"/>
        <family val="0"/>
        <charset val="1"/>
      </rPr>
      <t xml:space="preserve">1 / 2 / 3 (</t>
    </r>
    <r>
      <rPr>
        <sz val="10"/>
        <rFont val="Noto Sans CJK SC"/>
        <family val="2"/>
      </rPr>
      <t xml:space="preserve">단위 없음</t>
    </r>
    <r>
      <rPr>
        <sz val="10"/>
        <rFont val="Arial"/>
        <family val="0"/>
        <charset val="1"/>
      </rPr>
      <t xml:space="preserve">)</t>
    </r>
  </si>
  <si>
    <t xml:space="preserve">큰술로 추정</t>
  </si>
  <si>
    <t xml:space="preserve">tbsp</t>
  </si>
  <si>
    <t xml:space="preserve">가장 흔한 표기 - 추정 필요</t>
  </si>
  <si>
    <t xml:space="preserve">1T / 3T</t>
  </si>
  <si>
    <t xml:space="preserve">큰술</t>
  </si>
  <si>
    <t xml:space="preserve">같은 레시피 안에서 숫자만 표기와 혼용됨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</si>
  <si>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큰술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</si>
  <si>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스푼</t>
    </r>
  </si>
  <si>
    <t xml:space="preserve">큰술과 동일한지 불확실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</si>
  <si>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꼬집</t>
    </r>
  </si>
  <si>
    <t xml:space="preserve">꼬집</t>
  </si>
  <si>
    <t xml:space="preserve">pinch</t>
  </si>
  <si>
    <t xml:space="preserve">계량 불가 - 정성 단위</t>
  </si>
  <si>
    <t xml:space="preserve">적당히 / 적당량 / 약간 / 넉넉히</t>
  </si>
  <si>
    <t xml:space="preserve">정량 없음</t>
  </si>
  <si>
    <t xml:space="preserve">N/A</t>
  </si>
  <si>
    <t xml:space="preserve">소비량 계산 불가</t>
  </si>
  <si>
    <t xml:space="preserve">400ml / 300ml / 700</t>
  </si>
  <si>
    <t xml:space="preserve">부피</t>
  </si>
  <si>
    <t xml:space="preserve">ml</t>
  </si>
  <si>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은 단위 누락</t>
    </r>
  </si>
  <si>
    <t xml:space="preserve">240g / 150g / 500g</t>
  </si>
  <si>
    <t xml:space="preserve">중량</t>
  </si>
  <si>
    <t xml:space="preserve">g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</si>
  <si>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알 </t>
    </r>
    <r>
      <rPr>
        <sz val="10"/>
        <rFont val="Arial"/>
        <family val="0"/>
        <charset val="1"/>
      </rPr>
      <t xml:space="preserve">/ 1/2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/ 1</t>
    </r>
    <r>
      <rPr>
        <sz val="10"/>
        <rFont val="Noto Sans CJK SC"/>
        <family val="2"/>
      </rPr>
      <t xml:space="preserve">대</t>
    </r>
  </si>
  <si>
    <t xml:space="preserve">개수</t>
  </si>
  <si>
    <t xml:space="preserve">ea</t>
  </si>
  <si>
    <t xml:space="preserve">재료마다 단위가 다름</t>
  </si>
  <si>
    <t xml:space="preserve">1/2 / 1/3</t>
  </si>
  <si>
    <t xml:space="preserve">분수 개수</t>
  </si>
  <si>
    <t xml:space="preserve">기준 크기 불명</t>
  </si>
  <si>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단계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Noto Sans CJK SC"/>
        <family val="2"/>
      </rPr>
      <t xml:space="preserve">재료 정규화 분석 결과</t>
    </r>
  </si>
  <si>
    <t xml:space="preserve">항목</t>
  </si>
  <si>
    <t xml:space="preserve">값</t>
  </si>
  <si>
    <t xml:space="preserve">출처</t>
  </si>
  <si>
    <t xml:space="preserve">노션 DB 총 레시피 수</t>
  </si>
  <si>
    <t xml:space="preserve">입력값 - Notion DB 조회 결과</t>
  </si>
  <si>
    <t xml:space="preserve">본문 확인한 샘플 수</t>
  </si>
  <si>
    <t xml:space="preserve">입력값</t>
  </si>
  <si>
    <t xml:space="preserve">  └ 재료가 텍스트로 있음</t>
  </si>
  <si>
    <t xml:space="preserve">  └ 재료가 이미지에만 있음</t>
  </si>
  <si>
    <t xml:space="preserve">  └ 일부만 텍스트</t>
  </si>
  <si>
    <t xml:space="preserve">이미지 의존 비율</t>
  </si>
  <si>
    <t xml:space="preserve">텍스트 파싱만으로는 재료를 못 얻는 비율</t>
  </si>
  <si>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건 환산 시 이미지 의존 건수</t>
    </r>
  </si>
  <si>
    <t xml:space="preserve">샘플 비율을 전체에 적용한 추정치</t>
  </si>
  <si>
    <t xml:space="preserve">사전 등록 표기 수</t>
  </si>
  <si>
    <t xml:space="preserve">표준명 종류 수</t>
  </si>
  <si>
    <t xml:space="preserve">중복 제거 후 실제 재료 종류 (Python 집계)</t>
  </si>
  <si>
    <t xml:space="preserve">  └ 오탈자/띄어쓰기 변형</t>
  </si>
  <si>
    <t xml:space="preserve">  └ 별칭·브랜드명</t>
  </si>
  <si>
    <t xml:space="preserve">  └ 상위어/하위어 (부위·종류)</t>
  </si>
  <si>
    <t xml:space="preserve">  └ 모호 (판정 불가)</t>
  </si>
  <si>
    <t xml:space="preserve">정규화 손봐야 하는 표기 비율</t>
  </si>
  <si>
    <t xml:space="preserve">※ 파란 글씨 = 실측/입력값, 검정 = 수식</t>
  </si>
  <si>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단계</t>
    </r>
    <r>
      <rPr>
        <b val="true"/>
        <sz val="13"/>
        <rFont val="Arial"/>
        <family val="0"/>
        <charset val="1"/>
      </rPr>
      <t xml:space="preserve">: AI </t>
    </r>
    <r>
      <rPr>
        <b val="true"/>
        <sz val="13"/>
        <rFont val="Noto Sans CJK SC"/>
        <family val="2"/>
      </rPr>
      <t xml:space="preserve">레시피 구조화 건당 원가</t>
    </r>
  </si>
  <si>
    <t xml:space="preserve">가정값</t>
  </si>
  <si>
    <t xml:space="preserve">시스템 프롬프트 토큰</t>
  </si>
  <si>
    <t xml:space="preserve">스키마+few-shot 포함 추정</t>
  </si>
  <si>
    <t xml:space="preserve">출력 토큰</t>
  </si>
  <si>
    <t xml:space="preserve">구조화 JSON 결과 추정</t>
  </si>
  <si>
    <t xml:space="preserve">텍스트 레시피 평균 토큰</t>
  </si>
  <si>
    <t xml:space="preserve">실측: 노션 레시피 3건 평균 289자</t>
  </si>
  <si>
    <t xml:space="preserve">캡처 이미지 1장 토큰</t>
  </si>
  <si>
    <r>
      <rPr>
        <i val="true"/>
        <sz val="9"/>
        <rFont val="Arial"/>
        <family val="0"/>
        <charset val="1"/>
      </rPr>
      <t xml:space="preserve">(725x1568)/750, Anthropic </t>
    </r>
    <r>
      <rPr>
        <i val="true"/>
        <sz val="9"/>
        <rFont val="Noto Sans CJK SC"/>
        <family val="2"/>
      </rPr>
      <t xml:space="preserve">산식</t>
    </r>
  </si>
  <si>
    <t xml:space="preserve">환율 (원/USD)</t>
  </si>
  <si>
    <t xml:space="preserve">모델 단가 (USD / 백만 토큰)</t>
  </si>
  <si>
    <t xml:space="preserve">모델</t>
  </si>
  <si>
    <t xml:space="preserve">입력</t>
  </si>
  <si>
    <t xml:space="preserve">출력</t>
  </si>
  <si>
    <t xml:space="preserve">Haiku 4.5</t>
  </si>
  <si>
    <t xml:space="preserve">Sonnet 5</t>
  </si>
  <si>
    <t xml:space="preserve">Opus 5</t>
  </si>
  <si>
    <r>
      <rPr>
        <i val="true"/>
        <sz val="9"/>
        <rFont val="Arial"/>
        <family val="0"/>
        <charset val="1"/>
      </rPr>
      <t xml:space="preserve">※ Sonnet 5</t>
    </r>
    <r>
      <rPr>
        <i val="true"/>
        <sz val="9"/>
        <rFont val="Noto Sans CJK SC"/>
        <family val="2"/>
      </rPr>
      <t xml:space="preserve">는 </t>
    </r>
    <r>
      <rPr>
        <i val="true"/>
        <sz val="9"/>
        <rFont val="Arial"/>
        <family val="0"/>
        <charset val="1"/>
      </rPr>
      <t xml:space="preserve">2026-08-31</t>
    </r>
    <r>
      <rPr>
        <i val="true"/>
        <sz val="9"/>
        <rFont val="Noto Sans CJK SC"/>
        <family val="2"/>
      </rPr>
      <t xml:space="preserve">까지 도입가 </t>
    </r>
    <r>
      <rPr>
        <i val="true"/>
        <sz val="9"/>
        <rFont val="Arial"/>
        <family val="0"/>
        <charset val="1"/>
      </rPr>
      <t xml:space="preserve">$2/$10, </t>
    </r>
    <r>
      <rPr>
        <i val="true"/>
        <sz val="9"/>
        <rFont val="Noto Sans CJK SC"/>
        <family val="2"/>
      </rPr>
      <t xml:space="preserve">이후 </t>
    </r>
    <r>
      <rPr>
        <i val="true"/>
        <sz val="9"/>
        <rFont val="Arial"/>
        <family val="0"/>
        <charset val="1"/>
      </rPr>
      <t xml:space="preserve">$3/$15</t>
    </r>
  </si>
  <si>
    <t xml:space="preserve">건당 원가 (원)</t>
  </si>
  <si>
    <t xml:space="preserve">시나리오</t>
  </si>
  <si>
    <r>
      <rPr>
        <sz val="10"/>
        <rFont val="Arial"/>
        <family val="0"/>
        <charset val="1"/>
      </rPr>
      <t xml:space="preserve">A. </t>
    </r>
    <r>
      <rPr>
        <sz val="10"/>
        <rFont val="Noto Sans CJK SC"/>
        <family val="2"/>
      </rPr>
      <t xml:space="preserve">텍스트 붙여넣기</t>
    </r>
  </si>
  <si>
    <r>
      <rPr>
        <sz val="10"/>
        <rFont val="Arial"/>
        <family val="0"/>
        <charset val="1"/>
      </rPr>
      <t xml:space="preserve">B. </t>
    </r>
    <r>
      <rPr>
        <sz val="10"/>
        <rFont val="Noto Sans CJK SC"/>
        <family val="2"/>
      </rPr>
      <t xml:space="preserve">캡처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</t>
    </r>
  </si>
  <si>
    <r>
      <rPr>
        <sz val="10"/>
        <rFont val="Arial"/>
        <family val="0"/>
        <charset val="1"/>
      </rPr>
      <t xml:space="preserve">C. </t>
    </r>
    <r>
      <rPr>
        <sz val="10"/>
        <rFont val="Noto Sans CJK SC"/>
        <family val="2"/>
      </rPr>
      <t xml:space="preserve">캡처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</t>
    </r>
  </si>
  <si>
    <t xml:space="preserve">월 1,000건 처리 시 (원)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</si>
</sst>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10"/>
      <color rgb="FF0000FF"/>
      <name val="Arial"/>
      <family val="0"/>
      <charset val="1"/>
    </font>
    <font>
      <i val="true"/>
      <sz val="9"/>
      <name val="Noto Sans CJK SC"/>
      <family val="2"/>
      <charset val="1"/>
    </font>
    <font>
      <b val="true"/>
      <sz val="10"/>
      <name val="Noto Sans CJK SC"/>
      <family val="2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4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3" t="s">
        <v>6</v>
      </c>
      <c r="C2" s="3" t="s">
        <v>7</v>
      </c>
      <c r="D2" s="4" t="s">
        <v>8</v>
      </c>
      <c r="E2" s="3" t="s">
        <v>9</v>
      </c>
      <c r="F2" s="3"/>
    </row>
    <row r="3" customFormat="false" ht="15" hidden="false" customHeight="true" outlineLevel="0" collapsed="false">
      <c r="A3" s="5" t="s">
        <v>10</v>
      </c>
      <c r="B3" s="5" t="s">
        <v>6</v>
      </c>
      <c r="C3" s="5" t="s">
        <v>7</v>
      </c>
      <c r="D3" s="6" t="s">
        <v>8</v>
      </c>
      <c r="E3" s="5" t="s">
        <v>11</v>
      </c>
      <c r="F3" s="5" t="s">
        <v>12</v>
      </c>
    </row>
    <row r="4" customFormat="false" ht="15" hidden="false" customHeight="true" outlineLevel="0" collapsed="false">
      <c r="A4" s="5" t="s">
        <v>13</v>
      </c>
      <c r="B4" s="5" t="s">
        <v>6</v>
      </c>
      <c r="C4" s="5" t="s">
        <v>7</v>
      </c>
      <c r="D4" s="6" t="s">
        <v>8</v>
      </c>
      <c r="E4" s="5" t="s">
        <v>11</v>
      </c>
      <c r="F4" s="5" t="s">
        <v>14</v>
      </c>
    </row>
    <row r="5" customFormat="false" ht="15" hidden="false" customHeight="true" outlineLevel="0" collapsed="false">
      <c r="A5" s="3" t="s">
        <v>15</v>
      </c>
      <c r="B5" s="3" t="s">
        <v>15</v>
      </c>
      <c r="C5" s="3" t="s">
        <v>7</v>
      </c>
      <c r="D5" s="3" t="s">
        <v>16</v>
      </c>
      <c r="E5" s="3" t="s">
        <v>9</v>
      </c>
      <c r="F5" s="3"/>
    </row>
    <row r="6" customFormat="false" ht="15" hidden="false" customHeight="true" outlineLevel="0" collapsed="false">
      <c r="A6" s="5" t="s">
        <v>17</v>
      </c>
      <c r="B6" s="5" t="s">
        <v>15</v>
      </c>
      <c r="C6" s="5" t="s">
        <v>7</v>
      </c>
      <c r="D6" s="5" t="s">
        <v>16</v>
      </c>
      <c r="E6" s="5" t="s">
        <v>18</v>
      </c>
      <c r="F6" s="5" t="s">
        <v>19</v>
      </c>
    </row>
    <row r="7" customFormat="false" ht="15" hidden="false" customHeight="true" outlineLevel="0" collapsed="false">
      <c r="A7" s="5" t="s">
        <v>20</v>
      </c>
      <c r="B7" s="5" t="s">
        <v>21</v>
      </c>
      <c r="C7" s="5" t="s">
        <v>7</v>
      </c>
      <c r="D7" s="6" t="s">
        <v>8</v>
      </c>
      <c r="E7" s="5" t="s">
        <v>22</v>
      </c>
      <c r="F7" s="5" t="s">
        <v>23</v>
      </c>
    </row>
    <row r="8" customFormat="false" ht="15" hidden="false" customHeight="true" outlineLevel="0" collapsed="false">
      <c r="A8" s="3" t="s">
        <v>21</v>
      </c>
      <c r="B8" s="3" t="s">
        <v>21</v>
      </c>
      <c r="C8" s="3" t="s">
        <v>7</v>
      </c>
      <c r="D8" s="4" t="s">
        <v>8</v>
      </c>
      <c r="E8" s="3" t="s">
        <v>9</v>
      </c>
      <c r="F8" s="3"/>
    </row>
    <row r="9" customFormat="false" ht="15" hidden="false" customHeight="true" outlineLevel="0" collapsed="false">
      <c r="A9" s="3" t="s">
        <v>24</v>
      </c>
      <c r="B9" s="3" t="s">
        <v>24</v>
      </c>
      <c r="C9" s="3" t="s">
        <v>7</v>
      </c>
      <c r="D9" s="4" t="s">
        <v>8</v>
      </c>
      <c r="E9" s="3" t="s">
        <v>9</v>
      </c>
      <c r="F9" s="3" t="s">
        <v>25</v>
      </c>
    </row>
    <row r="10" customFormat="false" ht="15" hidden="false" customHeight="true" outlineLevel="0" collapsed="false">
      <c r="A10" s="3" t="s">
        <v>26</v>
      </c>
      <c r="B10" s="3" t="s">
        <v>26</v>
      </c>
      <c r="C10" s="3" t="s">
        <v>7</v>
      </c>
      <c r="D10" s="4" t="s">
        <v>8</v>
      </c>
      <c r="E10" s="3" t="s">
        <v>9</v>
      </c>
      <c r="F10" s="3"/>
    </row>
    <row r="11" customFormat="false" ht="15" hidden="false" customHeight="true" outlineLevel="0" collapsed="false">
      <c r="A11" s="5" t="s">
        <v>27</v>
      </c>
      <c r="B11" s="5" t="s">
        <v>26</v>
      </c>
      <c r="C11" s="5" t="s">
        <v>7</v>
      </c>
      <c r="D11" s="6" t="s">
        <v>8</v>
      </c>
      <c r="E11" s="5" t="s">
        <v>28</v>
      </c>
      <c r="F11" s="5" t="s">
        <v>29</v>
      </c>
    </row>
    <row r="12" customFormat="false" ht="15" hidden="false" customHeight="true" outlineLevel="0" collapsed="false">
      <c r="A12" s="3" t="s">
        <v>30</v>
      </c>
      <c r="B12" s="3" t="s">
        <v>31</v>
      </c>
      <c r="C12" s="3" t="s">
        <v>7</v>
      </c>
      <c r="D12" s="3" t="s">
        <v>32</v>
      </c>
      <c r="E12" s="3" t="s">
        <v>33</v>
      </c>
      <c r="F12" s="3" t="s">
        <v>34</v>
      </c>
    </row>
    <row r="13" customFormat="false" ht="15" hidden="false" customHeight="true" outlineLevel="0" collapsed="false">
      <c r="A13" s="3" t="s">
        <v>31</v>
      </c>
      <c r="B13" s="3" t="s">
        <v>31</v>
      </c>
      <c r="C13" s="3" t="s">
        <v>7</v>
      </c>
      <c r="D13" s="3" t="s">
        <v>32</v>
      </c>
      <c r="E13" s="3" t="s">
        <v>9</v>
      </c>
      <c r="F13" s="3"/>
    </row>
    <row r="14" customFormat="false" ht="15" hidden="false" customHeight="true" outlineLevel="0" collapsed="false">
      <c r="A14" s="3" t="s">
        <v>35</v>
      </c>
      <c r="B14" s="3" t="s">
        <v>35</v>
      </c>
      <c r="C14" s="3" t="s">
        <v>7</v>
      </c>
      <c r="D14" s="4" t="s">
        <v>8</v>
      </c>
      <c r="E14" s="3" t="s">
        <v>9</v>
      </c>
      <c r="F14" s="3"/>
    </row>
    <row r="15" customFormat="false" ht="15" hidden="false" customHeight="true" outlineLevel="0" collapsed="false">
      <c r="A15" s="5" t="s">
        <v>36</v>
      </c>
      <c r="B15" s="5" t="s">
        <v>37</v>
      </c>
      <c r="C15" s="5" t="s">
        <v>7</v>
      </c>
      <c r="D15" s="6" t="s">
        <v>8</v>
      </c>
      <c r="E15" s="5" t="s">
        <v>28</v>
      </c>
      <c r="F15" s="5"/>
    </row>
    <row r="16" customFormat="false" ht="15" hidden="false" customHeight="true" outlineLevel="0" collapsed="false">
      <c r="A16" s="3" t="s">
        <v>38</v>
      </c>
      <c r="B16" s="3" t="s">
        <v>39</v>
      </c>
      <c r="C16" s="3" t="s">
        <v>7</v>
      </c>
      <c r="D16" s="4" t="s">
        <v>8</v>
      </c>
      <c r="E16" s="3" t="s">
        <v>9</v>
      </c>
      <c r="F16" s="3"/>
    </row>
    <row r="17" customFormat="false" ht="15" hidden="false" customHeight="true" outlineLevel="0" collapsed="false">
      <c r="A17" s="3" t="s">
        <v>40</v>
      </c>
      <c r="B17" s="3" t="s">
        <v>40</v>
      </c>
      <c r="C17" s="3" t="s">
        <v>7</v>
      </c>
      <c r="D17" s="3" t="s">
        <v>41</v>
      </c>
      <c r="E17" s="3" t="s">
        <v>9</v>
      </c>
      <c r="F17" s="3"/>
    </row>
    <row r="18" customFormat="false" ht="15" hidden="false" customHeight="true" outlineLevel="0" collapsed="false">
      <c r="A18" s="3" t="s">
        <v>42</v>
      </c>
      <c r="B18" s="3" t="s">
        <v>42</v>
      </c>
      <c r="C18" s="3" t="s">
        <v>7</v>
      </c>
      <c r="D18" s="3" t="s">
        <v>43</v>
      </c>
      <c r="E18" s="3" t="s">
        <v>9</v>
      </c>
      <c r="F18" s="3"/>
    </row>
    <row r="19" customFormat="false" ht="15" hidden="false" customHeight="true" outlineLevel="0" collapsed="false">
      <c r="A19" s="3" t="s">
        <v>44</v>
      </c>
      <c r="B19" s="3" t="s">
        <v>44</v>
      </c>
      <c r="C19" s="3" t="s">
        <v>7</v>
      </c>
      <c r="D19" s="3" t="s">
        <v>45</v>
      </c>
      <c r="E19" s="3" t="s">
        <v>9</v>
      </c>
      <c r="F19" s="3"/>
    </row>
    <row r="20" customFormat="false" ht="15" hidden="false" customHeight="true" outlineLevel="0" collapsed="false">
      <c r="A20" s="3" t="s">
        <v>46</v>
      </c>
      <c r="B20" s="3" t="s">
        <v>46</v>
      </c>
      <c r="C20" s="3" t="s">
        <v>7</v>
      </c>
      <c r="D20" s="4" t="s">
        <v>8</v>
      </c>
      <c r="E20" s="3" t="s">
        <v>9</v>
      </c>
      <c r="F20" s="3"/>
    </row>
    <row r="21" customFormat="false" ht="15" hidden="false" customHeight="true" outlineLevel="0" collapsed="false">
      <c r="A21" s="3" t="s">
        <v>47</v>
      </c>
      <c r="B21" s="3" t="s">
        <v>47</v>
      </c>
      <c r="C21" s="3" t="s">
        <v>7</v>
      </c>
      <c r="D21" s="4" t="s">
        <v>8</v>
      </c>
      <c r="E21" s="3" t="s">
        <v>9</v>
      </c>
      <c r="F21" s="3"/>
    </row>
    <row r="22" customFormat="false" ht="15" hidden="false" customHeight="true" outlineLevel="0" collapsed="false">
      <c r="A22" s="3" t="s">
        <v>48</v>
      </c>
      <c r="B22" s="3" t="s">
        <v>48</v>
      </c>
      <c r="C22" s="3" t="s">
        <v>7</v>
      </c>
      <c r="D22" s="4" t="s">
        <v>8</v>
      </c>
      <c r="E22" s="3" t="s">
        <v>9</v>
      </c>
      <c r="F22" s="3"/>
    </row>
    <row r="23" customFormat="false" ht="15" hidden="false" customHeight="true" outlineLevel="0" collapsed="false">
      <c r="A23" s="3" t="s">
        <v>49</v>
      </c>
      <c r="B23" s="3" t="s">
        <v>49</v>
      </c>
      <c r="C23" s="3" t="s">
        <v>7</v>
      </c>
      <c r="D23" s="4" t="s">
        <v>8</v>
      </c>
      <c r="E23" s="3" t="s">
        <v>9</v>
      </c>
      <c r="F23" s="3"/>
    </row>
    <row r="24" customFormat="false" ht="15" hidden="false" customHeight="true" outlineLevel="0" collapsed="false">
      <c r="A24" s="3" t="s">
        <v>50</v>
      </c>
      <c r="B24" s="3" t="s">
        <v>50</v>
      </c>
      <c r="C24" s="3" t="s">
        <v>7</v>
      </c>
      <c r="D24" s="4" t="s">
        <v>8</v>
      </c>
      <c r="E24" s="3" t="s">
        <v>9</v>
      </c>
      <c r="F24" s="3"/>
    </row>
    <row r="25" customFormat="false" ht="15" hidden="false" customHeight="true" outlineLevel="0" collapsed="false">
      <c r="A25" s="3" t="s">
        <v>51</v>
      </c>
      <c r="B25" s="3" t="s">
        <v>51</v>
      </c>
      <c r="C25" s="3" t="s">
        <v>7</v>
      </c>
      <c r="D25" s="4" t="s">
        <v>8</v>
      </c>
      <c r="E25" s="3" t="s">
        <v>9</v>
      </c>
      <c r="F25" s="3"/>
    </row>
    <row r="26" customFormat="false" ht="15" hidden="false" customHeight="true" outlineLevel="0" collapsed="false">
      <c r="A26" s="3" t="s">
        <v>52</v>
      </c>
      <c r="B26" s="3" t="s">
        <v>52</v>
      </c>
      <c r="C26" s="3" t="s">
        <v>7</v>
      </c>
      <c r="D26" s="4" t="s">
        <v>8</v>
      </c>
      <c r="E26" s="3" t="s">
        <v>9</v>
      </c>
      <c r="F26" s="3"/>
    </row>
    <row r="27" customFormat="false" ht="15" hidden="false" customHeight="true" outlineLevel="0" collapsed="false">
      <c r="A27" s="3" t="s">
        <v>53</v>
      </c>
      <c r="B27" s="3" t="s">
        <v>53</v>
      </c>
      <c r="C27" s="3" t="s">
        <v>54</v>
      </c>
      <c r="D27" s="3" t="s">
        <v>55</v>
      </c>
      <c r="E27" s="3" t="s">
        <v>56</v>
      </c>
      <c r="F27" s="3" t="s">
        <v>57</v>
      </c>
    </row>
    <row r="28" customFormat="false" ht="15" hidden="false" customHeight="true" outlineLevel="0" collapsed="false">
      <c r="A28" s="3" t="s">
        <v>58</v>
      </c>
      <c r="B28" s="3" t="s">
        <v>58</v>
      </c>
      <c r="C28" s="3" t="s">
        <v>54</v>
      </c>
      <c r="D28" s="3" t="s">
        <v>55</v>
      </c>
      <c r="E28" s="3" t="s">
        <v>56</v>
      </c>
      <c r="F28" s="3" t="s">
        <v>57</v>
      </c>
    </row>
    <row r="29" customFormat="false" ht="15" hidden="false" customHeight="true" outlineLevel="0" collapsed="false">
      <c r="A29" s="3" t="s">
        <v>55</v>
      </c>
      <c r="B29" s="3" t="s">
        <v>55</v>
      </c>
      <c r="C29" s="3" t="s">
        <v>54</v>
      </c>
      <c r="D29" s="4" t="s">
        <v>8</v>
      </c>
      <c r="E29" s="3" t="s">
        <v>33</v>
      </c>
      <c r="F29" s="3" t="s">
        <v>59</v>
      </c>
    </row>
    <row r="30" customFormat="false" ht="15" hidden="false" customHeight="true" outlineLevel="0" collapsed="false">
      <c r="A30" s="3" t="s">
        <v>60</v>
      </c>
      <c r="B30" s="3" t="s">
        <v>60</v>
      </c>
      <c r="C30" s="3" t="s">
        <v>54</v>
      </c>
      <c r="D30" s="3" t="s">
        <v>61</v>
      </c>
      <c r="E30" s="3" t="s">
        <v>56</v>
      </c>
      <c r="F30" s="3" t="s">
        <v>62</v>
      </c>
    </row>
    <row r="31" customFormat="false" ht="15" hidden="false" customHeight="true" outlineLevel="0" collapsed="false">
      <c r="A31" s="3" t="s">
        <v>63</v>
      </c>
      <c r="B31" s="3" t="s">
        <v>63</v>
      </c>
      <c r="C31" s="3" t="s">
        <v>54</v>
      </c>
      <c r="D31" s="3" t="s">
        <v>61</v>
      </c>
      <c r="E31" s="3" t="s">
        <v>56</v>
      </c>
      <c r="F31" s="3" t="s">
        <v>64</v>
      </c>
    </row>
    <row r="32" customFormat="false" ht="15" hidden="false" customHeight="true" outlineLevel="0" collapsed="false">
      <c r="A32" s="3" t="s">
        <v>61</v>
      </c>
      <c r="B32" s="3" t="s">
        <v>61</v>
      </c>
      <c r="C32" s="3" t="s">
        <v>54</v>
      </c>
      <c r="D32" s="4" t="s">
        <v>8</v>
      </c>
      <c r="E32" s="3" t="s">
        <v>33</v>
      </c>
      <c r="F32" s="3" t="s">
        <v>59</v>
      </c>
    </row>
    <row r="33" customFormat="false" ht="15" hidden="false" customHeight="true" outlineLevel="0" collapsed="false">
      <c r="A33" s="3" t="s">
        <v>65</v>
      </c>
      <c r="B33" s="3" t="s">
        <v>66</v>
      </c>
      <c r="C33" s="3" t="s">
        <v>54</v>
      </c>
      <c r="D33" s="3" t="s">
        <v>66</v>
      </c>
      <c r="E33" s="3" t="s">
        <v>56</v>
      </c>
      <c r="F33" s="4" t="s">
        <v>67</v>
      </c>
    </row>
    <row r="34" customFormat="false" ht="15" hidden="false" customHeight="true" outlineLevel="0" collapsed="false">
      <c r="A34" s="5" t="s">
        <v>68</v>
      </c>
      <c r="B34" s="5" t="s">
        <v>69</v>
      </c>
      <c r="C34" s="5" t="s">
        <v>70</v>
      </c>
      <c r="D34" s="5" t="s">
        <v>71</v>
      </c>
      <c r="E34" s="5" t="s">
        <v>72</v>
      </c>
      <c r="F34" s="6" t="s">
        <v>73</v>
      </c>
    </row>
    <row r="35" customFormat="false" ht="15" hidden="false" customHeight="true" outlineLevel="0" collapsed="false">
      <c r="A35" s="5" t="s">
        <v>71</v>
      </c>
      <c r="B35" s="5" t="s">
        <v>69</v>
      </c>
      <c r="C35" s="5" t="s">
        <v>70</v>
      </c>
      <c r="D35" s="5" t="s">
        <v>68</v>
      </c>
      <c r="E35" s="5" t="s">
        <v>72</v>
      </c>
      <c r="F35" s="5"/>
    </row>
    <row r="36" customFormat="false" ht="15" hidden="false" customHeight="true" outlineLevel="0" collapsed="false">
      <c r="A36" s="3" t="s">
        <v>74</v>
      </c>
      <c r="B36" s="3" t="s">
        <v>74</v>
      </c>
      <c r="C36" s="3" t="s">
        <v>75</v>
      </c>
      <c r="D36" s="4" t="s">
        <v>8</v>
      </c>
      <c r="E36" s="3" t="s">
        <v>9</v>
      </c>
      <c r="F36" s="3" t="s">
        <v>76</v>
      </c>
    </row>
    <row r="37" customFormat="false" ht="15" hidden="false" customHeight="true" outlineLevel="0" collapsed="false">
      <c r="A37" s="3" t="s">
        <v>77</v>
      </c>
      <c r="B37" s="3" t="s">
        <v>77</v>
      </c>
      <c r="C37" s="3" t="s">
        <v>75</v>
      </c>
      <c r="D37" s="4" t="s">
        <v>8</v>
      </c>
      <c r="E37" s="3" t="s">
        <v>9</v>
      </c>
      <c r="F37" s="3"/>
    </row>
    <row r="38" customFormat="false" ht="15" hidden="false" customHeight="true" outlineLevel="0" collapsed="false">
      <c r="A38" s="3" t="s">
        <v>78</v>
      </c>
      <c r="B38" s="3" t="s">
        <v>78</v>
      </c>
      <c r="C38" s="3" t="s">
        <v>75</v>
      </c>
      <c r="D38" s="4" t="s">
        <v>8</v>
      </c>
      <c r="E38" s="3" t="s">
        <v>9</v>
      </c>
      <c r="F38" s="3"/>
    </row>
    <row r="39" customFormat="false" ht="15" hidden="false" customHeight="true" outlineLevel="0" collapsed="false">
      <c r="A39" s="3" t="s">
        <v>79</v>
      </c>
      <c r="B39" s="3" t="s">
        <v>79</v>
      </c>
      <c r="C39" s="3" t="s">
        <v>75</v>
      </c>
      <c r="D39" s="4" t="s">
        <v>8</v>
      </c>
      <c r="E39" s="3" t="s">
        <v>9</v>
      </c>
      <c r="F39" s="3"/>
    </row>
    <row r="40" customFormat="false" ht="15" hidden="false" customHeight="true" outlineLevel="0" collapsed="false">
      <c r="A40" s="3" t="s">
        <v>80</v>
      </c>
      <c r="B40" s="3" t="s">
        <v>80</v>
      </c>
      <c r="C40" s="3" t="s">
        <v>75</v>
      </c>
      <c r="D40" s="4" t="s">
        <v>8</v>
      </c>
      <c r="E40" s="3" t="s">
        <v>9</v>
      </c>
      <c r="F40" s="4" t="s">
        <v>81</v>
      </c>
    </row>
    <row r="41" customFormat="false" ht="15" hidden="false" customHeight="true" outlineLevel="0" collapsed="false">
      <c r="A41" s="3" t="s">
        <v>82</v>
      </c>
      <c r="B41" s="3" t="s">
        <v>82</v>
      </c>
      <c r="C41" s="3" t="s">
        <v>75</v>
      </c>
      <c r="D41" s="4" t="s">
        <v>8</v>
      </c>
      <c r="E41" s="3" t="s">
        <v>9</v>
      </c>
      <c r="F41" s="3"/>
    </row>
    <row r="42" customFormat="false" ht="15" hidden="false" customHeight="true" outlineLevel="0" collapsed="false">
      <c r="A42" s="3" t="s">
        <v>83</v>
      </c>
      <c r="B42" s="3" t="s">
        <v>83</v>
      </c>
      <c r="C42" s="3" t="s">
        <v>75</v>
      </c>
      <c r="D42" s="4" t="s">
        <v>8</v>
      </c>
      <c r="E42" s="3" t="s">
        <v>9</v>
      </c>
      <c r="F42" s="3"/>
    </row>
    <row r="43" customFormat="false" ht="15" hidden="false" customHeight="true" outlineLevel="0" collapsed="false">
      <c r="A43" s="3" t="s">
        <v>84</v>
      </c>
      <c r="B43" s="3" t="s">
        <v>84</v>
      </c>
      <c r="C43" s="3" t="s">
        <v>75</v>
      </c>
      <c r="D43" s="3" t="s">
        <v>85</v>
      </c>
      <c r="E43" s="3" t="s">
        <v>9</v>
      </c>
      <c r="F43" s="3"/>
    </row>
    <row r="44" customFormat="false" ht="15" hidden="false" customHeight="true" outlineLevel="0" collapsed="false">
      <c r="A44" s="3" t="s">
        <v>86</v>
      </c>
      <c r="B44" s="3" t="s">
        <v>86</v>
      </c>
      <c r="C44" s="3" t="s">
        <v>75</v>
      </c>
      <c r="D44" s="4" t="s">
        <v>8</v>
      </c>
      <c r="E44" s="3" t="s">
        <v>9</v>
      </c>
      <c r="F44" s="3"/>
    </row>
    <row r="45" customFormat="false" ht="15" hidden="false" customHeight="true" outlineLevel="0" collapsed="false">
      <c r="A45" s="3" t="s">
        <v>87</v>
      </c>
      <c r="B45" s="3" t="s">
        <v>87</v>
      </c>
      <c r="C45" s="3" t="s">
        <v>88</v>
      </c>
      <c r="D45" s="3" t="s">
        <v>89</v>
      </c>
      <c r="E45" s="3" t="s">
        <v>9</v>
      </c>
      <c r="F45" s="3" t="s">
        <v>90</v>
      </c>
    </row>
    <row r="46" customFormat="false" ht="15" hidden="false" customHeight="true" outlineLevel="0" collapsed="false">
      <c r="A46" s="3" t="s">
        <v>91</v>
      </c>
      <c r="B46" s="3" t="s">
        <v>91</v>
      </c>
      <c r="C46" s="3" t="s">
        <v>70</v>
      </c>
      <c r="D46" s="4" t="s">
        <v>8</v>
      </c>
      <c r="E46" s="3" t="s">
        <v>9</v>
      </c>
      <c r="F46" s="3" t="s">
        <v>92</v>
      </c>
    </row>
    <row r="47" customFormat="false" ht="15" hidden="false" customHeight="true" outlineLevel="0" collapsed="false">
      <c r="A47" s="3" t="s">
        <v>93</v>
      </c>
      <c r="B47" s="3" t="s">
        <v>93</v>
      </c>
      <c r="C47" s="3" t="s">
        <v>94</v>
      </c>
      <c r="D47" s="3" t="s">
        <v>95</v>
      </c>
      <c r="E47" s="3" t="s">
        <v>96</v>
      </c>
      <c r="F47" s="3" t="s">
        <v>97</v>
      </c>
    </row>
    <row r="48" customFormat="false" ht="15" hidden="false" customHeight="true" outlineLevel="0" collapsed="false">
      <c r="A48" s="3" t="s">
        <v>95</v>
      </c>
      <c r="B48" s="3" t="s">
        <v>95</v>
      </c>
      <c r="C48" s="3" t="s">
        <v>94</v>
      </c>
      <c r="D48" s="4" t="s">
        <v>8</v>
      </c>
      <c r="E48" s="3" t="s">
        <v>98</v>
      </c>
      <c r="F48" s="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40"/>
  </cols>
  <sheetData>
    <row r="1" customFormat="false" ht="15" hidden="false" customHeight="true" outlineLevel="0" collapsed="false">
      <c r="A1" s="7" t="s">
        <v>0</v>
      </c>
      <c r="B1" s="7" t="s">
        <v>100</v>
      </c>
      <c r="C1" s="7" t="s">
        <v>101</v>
      </c>
      <c r="D1" s="7" t="s">
        <v>5</v>
      </c>
    </row>
    <row r="2" customFormat="false" ht="15" hidden="false" customHeight="true" outlineLevel="0" collapsed="false">
      <c r="A2" s="4" t="s">
        <v>102</v>
      </c>
      <c r="B2" s="3" t="s">
        <v>103</v>
      </c>
      <c r="C2" s="4" t="s">
        <v>104</v>
      </c>
      <c r="D2" s="3" t="s">
        <v>105</v>
      </c>
    </row>
    <row r="3" customFormat="false" ht="15" hidden="false" customHeight="true" outlineLevel="0" collapsed="false">
      <c r="A3" s="4" t="s">
        <v>106</v>
      </c>
      <c r="B3" s="3" t="s">
        <v>107</v>
      </c>
      <c r="C3" s="4" t="s">
        <v>104</v>
      </c>
      <c r="D3" s="3" t="s">
        <v>108</v>
      </c>
    </row>
    <row r="4" customFormat="false" ht="15" hidden="false" customHeight="true" outlineLevel="0" collapsed="false">
      <c r="A4" s="4" t="s">
        <v>109</v>
      </c>
      <c r="B4" s="3" t="s">
        <v>107</v>
      </c>
      <c r="C4" s="4" t="s">
        <v>104</v>
      </c>
      <c r="D4" s="3"/>
    </row>
    <row r="5" customFormat="false" ht="15" hidden="false" customHeight="true" outlineLevel="0" collapsed="false">
      <c r="A5" s="4" t="s">
        <v>110</v>
      </c>
      <c r="B5" s="3" t="s">
        <v>103</v>
      </c>
      <c r="C5" s="4" t="s">
        <v>104</v>
      </c>
      <c r="D5" s="3" t="s">
        <v>111</v>
      </c>
    </row>
    <row r="6" customFormat="false" ht="15" hidden="false" customHeight="true" outlineLevel="0" collapsed="false">
      <c r="A6" s="4" t="s">
        <v>112</v>
      </c>
      <c r="B6" s="3" t="s">
        <v>113</v>
      </c>
      <c r="C6" s="4" t="s">
        <v>114</v>
      </c>
      <c r="D6" s="3" t="s">
        <v>115</v>
      </c>
    </row>
    <row r="7" customFormat="false" ht="15" hidden="false" customHeight="true" outlineLevel="0" collapsed="false">
      <c r="A7" s="3" t="s">
        <v>116</v>
      </c>
      <c r="B7" s="3" t="s">
        <v>117</v>
      </c>
      <c r="C7" s="4" t="s">
        <v>118</v>
      </c>
      <c r="D7" s="3" t="s">
        <v>119</v>
      </c>
    </row>
    <row r="8" customFormat="false" ht="15" hidden="false" customHeight="true" outlineLevel="0" collapsed="false">
      <c r="A8" s="4" t="s">
        <v>120</v>
      </c>
      <c r="B8" s="3" t="s">
        <v>121</v>
      </c>
      <c r="C8" s="4" t="s">
        <v>122</v>
      </c>
      <c r="D8" s="4" t="s">
        <v>123</v>
      </c>
    </row>
    <row r="9" customFormat="false" ht="15" hidden="false" customHeight="true" outlineLevel="0" collapsed="false">
      <c r="A9" s="4" t="s">
        <v>124</v>
      </c>
      <c r="B9" s="3" t="s">
        <v>125</v>
      </c>
      <c r="C9" s="4" t="s">
        <v>126</v>
      </c>
      <c r="D9" s="3"/>
    </row>
    <row r="10" customFormat="false" ht="15" hidden="false" customHeight="true" outlineLevel="0" collapsed="false">
      <c r="A10" s="4" t="s">
        <v>127</v>
      </c>
      <c r="B10" s="3" t="s">
        <v>128</v>
      </c>
      <c r="C10" s="4" t="s">
        <v>129</v>
      </c>
      <c r="D10" s="3" t="s">
        <v>130</v>
      </c>
    </row>
    <row r="11" customFormat="false" ht="15" hidden="false" customHeight="true" outlineLevel="0" collapsed="false">
      <c r="A11" s="4" t="s">
        <v>131</v>
      </c>
      <c r="B11" s="3" t="s">
        <v>132</v>
      </c>
      <c r="C11" s="4" t="s">
        <v>129</v>
      </c>
      <c r="D11" s="3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9.5" hidden="false" customHeight="true" outlineLevel="0" collapsed="false">
      <c r="A1" s="8" t="s">
        <v>134</v>
      </c>
    </row>
    <row r="3" customFormat="false" ht="15" hidden="false" customHeight="true" outlineLevel="0" collapsed="false">
      <c r="A3" s="7" t="s">
        <v>135</v>
      </c>
      <c r="B3" s="7" t="s">
        <v>136</v>
      </c>
      <c r="C3" s="7" t="s">
        <v>137</v>
      </c>
    </row>
    <row r="4" customFormat="false" ht="15" hidden="false" customHeight="true" outlineLevel="0" collapsed="false">
      <c r="A4" s="9" t="s">
        <v>138</v>
      </c>
      <c r="B4" s="10" t="n">
        <v>33</v>
      </c>
      <c r="C4" s="9" t="s">
        <v>139</v>
      </c>
    </row>
    <row r="5" customFormat="false" ht="15" hidden="false" customHeight="true" outlineLevel="0" collapsed="false">
      <c r="A5" s="9" t="s">
        <v>140</v>
      </c>
      <c r="B5" s="10" t="n">
        <v>9</v>
      </c>
      <c r="C5" s="9" t="s">
        <v>141</v>
      </c>
    </row>
    <row r="6" customFormat="false" ht="15" hidden="false" customHeight="true" outlineLevel="0" collapsed="false">
      <c r="A6" s="9" t="s">
        <v>142</v>
      </c>
      <c r="B6" s="10" t="n">
        <v>5</v>
      </c>
      <c r="C6" s="9" t="s">
        <v>141</v>
      </c>
    </row>
    <row r="7" customFormat="false" ht="15" hidden="false" customHeight="true" outlineLevel="0" collapsed="false">
      <c r="A7" s="9" t="s">
        <v>143</v>
      </c>
      <c r="B7" s="10" t="n">
        <v>3</v>
      </c>
      <c r="C7" s="9" t="s">
        <v>141</v>
      </c>
    </row>
    <row r="8" customFormat="false" ht="15" hidden="false" customHeight="true" outlineLevel="0" collapsed="false">
      <c r="A8" s="9" t="s">
        <v>144</v>
      </c>
      <c r="B8" s="10" t="n">
        <v>1</v>
      </c>
      <c r="C8" s="9" t="s">
        <v>141</v>
      </c>
    </row>
    <row r="9" customFormat="false" ht="15" hidden="false" customHeight="true" outlineLevel="0" collapsed="false">
      <c r="A9" s="9" t="s">
        <v>145</v>
      </c>
      <c r="B9" s="11" t="n">
        <f aca="false">(B7+B8)/B5</f>
        <v>0.444444444444444</v>
      </c>
      <c r="C9" s="9" t="s">
        <v>146</v>
      </c>
    </row>
    <row r="10" customFormat="false" ht="15" hidden="false" customHeight="true" outlineLevel="0" collapsed="false">
      <c r="A10" s="12" t="s">
        <v>147</v>
      </c>
      <c r="B10" s="9" t="n">
        <f aca="false">ROUND(B4*B9,0)</f>
        <v>15</v>
      </c>
      <c r="C10" s="9" t="s">
        <v>148</v>
      </c>
    </row>
    <row r="12" customFormat="false" ht="15" hidden="false" customHeight="true" outlineLevel="0" collapsed="false">
      <c r="A12" s="9" t="s">
        <v>149</v>
      </c>
      <c r="B12" s="9" t="n">
        <f aca="false">COUNTA(재료사전!A2:A100)</f>
        <v>47</v>
      </c>
    </row>
    <row r="13" customFormat="false" ht="15" hidden="false" customHeight="true" outlineLevel="0" collapsed="false">
      <c r="A13" s="9" t="s">
        <v>150</v>
      </c>
      <c r="B13" s="10" t="n">
        <v>40</v>
      </c>
      <c r="C13" s="9" t="s">
        <v>151</v>
      </c>
    </row>
    <row r="14" customFormat="false" ht="15" hidden="false" customHeight="true" outlineLevel="0" collapsed="false">
      <c r="A14" s="9" t="s">
        <v>152</v>
      </c>
      <c r="B14" s="9" t="n">
        <f aca="false">COUNTIF(재료사전!E2:E100,"오탈자")+COUNTIF(재료사전!E2:E100,"띄어쓰기")</f>
        <v>3</v>
      </c>
    </row>
    <row r="15" customFormat="false" ht="15" hidden="false" customHeight="true" outlineLevel="0" collapsed="false">
      <c r="A15" s="9" t="s">
        <v>153</v>
      </c>
      <c r="B15" s="9" t="n">
        <f aca="false">COUNTIF(재료사전!E2:E100,"별칭")+COUNTIF(재료사전!E2:E100,"브랜드명")</f>
        <v>4</v>
      </c>
    </row>
    <row r="16" customFormat="false" ht="15" hidden="false" customHeight="true" outlineLevel="0" collapsed="false">
      <c r="A16" s="9" t="s">
        <v>154</v>
      </c>
      <c r="B16" s="9" t="n">
        <f aca="false">COUNTIF(재료사전!E2:E100,"상위어")+COUNTIF(재료사전!E2:E100,"하위어")</f>
        <v>8</v>
      </c>
    </row>
    <row r="17" customFormat="false" ht="15" hidden="false" customHeight="true" outlineLevel="0" collapsed="false">
      <c r="A17" s="9" t="s">
        <v>155</v>
      </c>
      <c r="B17" s="9" t="n">
        <f aca="false">COUNTIF(재료사전!E2:E100,"모호")</f>
        <v>1</v>
      </c>
    </row>
    <row r="18" customFormat="false" ht="15" hidden="false" customHeight="true" outlineLevel="0" collapsed="false">
      <c r="A18" s="9" t="s">
        <v>156</v>
      </c>
      <c r="B18" s="11" t="n">
        <f aca="false">(B14+B15+B16+B17)/B12</f>
        <v>0.340425531914894</v>
      </c>
    </row>
    <row r="20" customFormat="false" ht="15" hidden="false" customHeight="true" outlineLevel="0" collapsed="false">
      <c r="A20" s="13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4"/>
    <col collapsed="false" customWidth="true" hidden="false" outlineLevel="0" max="5" min="5" style="1" width="40"/>
  </cols>
  <sheetData>
    <row r="1" customFormat="false" ht="19.5" hidden="false" customHeight="true" outlineLevel="0" collapsed="false">
      <c r="A1" s="8" t="s">
        <v>158</v>
      </c>
    </row>
    <row r="3" customFormat="false" ht="15" hidden="false" customHeight="true" outlineLevel="0" collapsed="false">
      <c r="A3" s="14" t="s">
        <v>159</v>
      </c>
    </row>
    <row r="4" customFormat="false" ht="15" hidden="false" customHeight="true" outlineLevel="0" collapsed="false">
      <c r="A4" s="9" t="s">
        <v>160</v>
      </c>
      <c r="B4" s="10" t="n">
        <v>600</v>
      </c>
      <c r="D4" s="13" t="s">
        <v>161</v>
      </c>
    </row>
    <row r="5" customFormat="false" ht="15" hidden="false" customHeight="true" outlineLevel="0" collapsed="false">
      <c r="A5" s="9" t="s">
        <v>162</v>
      </c>
      <c r="B5" s="10" t="n">
        <v>700</v>
      </c>
      <c r="D5" s="13" t="s">
        <v>163</v>
      </c>
    </row>
    <row r="6" customFormat="false" ht="15" hidden="false" customHeight="true" outlineLevel="0" collapsed="false">
      <c r="A6" s="9" t="s">
        <v>164</v>
      </c>
      <c r="B6" s="10" t="n">
        <v>289</v>
      </c>
      <c r="D6" s="13" t="s">
        <v>165</v>
      </c>
    </row>
    <row r="7" customFormat="false" ht="15" hidden="false" customHeight="true" outlineLevel="0" collapsed="false">
      <c r="A7" s="9" t="s">
        <v>166</v>
      </c>
      <c r="B7" s="10" t="n">
        <v>1515</v>
      </c>
      <c r="D7" s="15" t="s">
        <v>167</v>
      </c>
    </row>
    <row r="8" customFormat="false" ht="15" hidden="false" customHeight="true" outlineLevel="0" collapsed="false">
      <c r="A8" s="9" t="s">
        <v>168</v>
      </c>
      <c r="B8" s="10" t="n">
        <v>1380</v>
      </c>
      <c r="D8" s="13" t="s">
        <v>159</v>
      </c>
    </row>
    <row r="10" customFormat="false" ht="15" hidden="false" customHeight="true" outlineLevel="0" collapsed="false">
      <c r="A10" s="14" t="s">
        <v>169</v>
      </c>
    </row>
    <row r="11" customFormat="false" ht="15" hidden="false" customHeight="true" outlineLevel="0" collapsed="false">
      <c r="A11" s="7" t="s">
        <v>170</v>
      </c>
      <c r="B11" s="7" t="s">
        <v>171</v>
      </c>
      <c r="C11" s="7" t="s">
        <v>172</v>
      </c>
    </row>
    <row r="12" customFormat="false" ht="15" hidden="false" customHeight="true" outlineLevel="0" collapsed="false">
      <c r="A12" s="12" t="s">
        <v>173</v>
      </c>
      <c r="B12" s="10" t="n">
        <v>1</v>
      </c>
      <c r="C12" s="10" t="n">
        <v>5</v>
      </c>
    </row>
    <row r="13" customFormat="false" ht="15" hidden="false" customHeight="true" outlineLevel="0" collapsed="false">
      <c r="A13" s="12" t="s">
        <v>174</v>
      </c>
      <c r="B13" s="10" t="n">
        <v>2</v>
      </c>
      <c r="C13" s="10" t="n">
        <v>10</v>
      </c>
    </row>
    <row r="14" customFormat="false" ht="15" hidden="false" customHeight="true" outlineLevel="0" collapsed="false">
      <c r="A14" s="12" t="s">
        <v>175</v>
      </c>
      <c r="B14" s="10" t="n">
        <v>5</v>
      </c>
      <c r="C14" s="10" t="n">
        <v>25</v>
      </c>
    </row>
    <row r="15" customFormat="false" ht="15" hidden="false" customHeight="true" outlineLevel="0" collapsed="false">
      <c r="A15" s="15" t="s">
        <v>176</v>
      </c>
    </row>
    <row r="17" customFormat="false" ht="15" hidden="false" customHeight="true" outlineLevel="0" collapsed="false">
      <c r="A17" s="14" t="s">
        <v>177</v>
      </c>
    </row>
    <row r="18" customFormat="false" ht="15" hidden="false" customHeight="true" outlineLevel="0" collapsed="false">
      <c r="A18" s="7" t="s">
        <v>178</v>
      </c>
      <c r="B18" s="16" t="s">
        <v>173</v>
      </c>
      <c r="C18" s="16" t="s">
        <v>174</v>
      </c>
      <c r="D18" s="16" t="s">
        <v>175</v>
      </c>
    </row>
    <row r="19" customFormat="false" ht="15" hidden="false" customHeight="true" outlineLevel="0" collapsed="false">
      <c r="A19" s="12" t="s">
        <v>179</v>
      </c>
      <c r="B19" s="17" t="n">
        <f aca="false">(($B$4+$B$6)/1000000*$B$12+$B$5/1000000*$C$12)*$B$8</f>
        <v>6.05682</v>
      </c>
      <c r="C19" s="17" t="n">
        <f aca="false">(($B$4+$B$6)/1000000*$B$13+$B$5/1000000*$C$13)*$B$8</f>
        <v>12.11364</v>
      </c>
      <c r="D19" s="17" t="n">
        <f aca="false">(($B$4+$B$6)/1000000*$B$14+$B$5/1000000*$C$14)*$B$8</f>
        <v>30.2841</v>
      </c>
    </row>
    <row r="20" customFormat="false" ht="15" hidden="false" customHeight="true" outlineLevel="0" collapsed="false">
      <c r="A20" s="12" t="s">
        <v>180</v>
      </c>
      <c r="B20" s="17" t="n">
        <f aca="false">(($B$4+$B$7)/1000000*$B$12+$B$5/1000000*$C$12)*$B$8</f>
        <v>7.7487</v>
      </c>
      <c r="C20" s="17" t="n">
        <f aca="false">(($B$4+$B$7)/1000000*$B$13+$B$5/1000000*$C$13)*$B$8</f>
        <v>15.4974</v>
      </c>
      <c r="D20" s="17" t="n">
        <f aca="false">(($B$4+$B$7)/1000000*$B$14+$B$5/1000000*$C$14)*$B$8</f>
        <v>38.7435</v>
      </c>
    </row>
    <row r="21" customFormat="false" ht="15" hidden="false" customHeight="true" outlineLevel="0" collapsed="false">
      <c r="A21" s="12" t="s">
        <v>181</v>
      </c>
      <c r="B21" s="17" t="n">
        <f aca="false">(($B$4+$B$7*3)/1000000*$B$12+$B$5/1000000*$C$12)*$B$8</f>
        <v>11.9301</v>
      </c>
      <c r="C21" s="17" t="n">
        <f aca="false">(($B$4+$B$7*3)/1000000*$B$13+$B$5/1000000*$C$13)*$B$8</f>
        <v>23.8602</v>
      </c>
      <c r="D21" s="17" t="n">
        <f aca="false">(($B$4+$B$7*3)/1000000*$B$14+$B$5/1000000*$C$14)*$B$8</f>
        <v>59.6505</v>
      </c>
    </row>
    <row r="23" customFormat="false" ht="15" hidden="false" customHeight="true" outlineLevel="0" collapsed="false">
      <c r="A23" s="14" t="s">
        <v>182</v>
      </c>
    </row>
    <row r="24" customFormat="false" ht="15" hidden="false" customHeight="true" outlineLevel="0" collapsed="false">
      <c r="A24" s="7" t="s">
        <v>178</v>
      </c>
      <c r="B24" s="16" t="s">
        <v>173</v>
      </c>
      <c r="C24" s="16" t="s">
        <v>174</v>
      </c>
      <c r="D24" s="16" t="s">
        <v>175</v>
      </c>
    </row>
    <row r="25" customFormat="false" ht="15" hidden="false" customHeight="true" outlineLevel="0" collapsed="false">
      <c r="A25" s="12" t="s">
        <v>179</v>
      </c>
      <c r="B25" s="18" t="n">
        <f aca="false">B19*1000</f>
        <v>6056.82</v>
      </c>
      <c r="C25" s="18" t="n">
        <f aca="false">C19*1000</f>
        <v>12113.64</v>
      </c>
      <c r="D25" s="18" t="n">
        <f aca="false">D19*1000</f>
        <v>30284.1</v>
      </c>
    </row>
    <row r="26" customFormat="false" ht="15" hidden="false" customHeight="true" outlineLevel="0" collapsed="false">
      <c r="A26" s="12" t="s">
        <v>180</v>
      </c>
      <c r="B26" s="18" t="n">
        <f aca="false">B20*1000</f>
        <v>7748.7</v>
      </c>
      <c r="C26" s="18" t="n">
        <f aca="false">C20*1000</f>
        <v>15497.4</v>
      </c>
      <c r="D26" s="18" t="n">
        <f aca="false">D20*1000</f>
        <v>38743.5</v>
      </c>
    </row>
    <row r="27" customFormat="false" ht="15" hidden="false" customHeight="true" outlineLevel="0" collapsed="false">
      <c r="A27" s="12" t="s">
        <v>181</v>
      </c>
      <c r="B27" s="18" t="n">
        <f aca="false">B21*1000</f>
        <v>11930.1</v>
      </c>
      <c r="C27" s="18" t="n">
        <f aca="false">C21*1000</f>
        <v>23860.2</v>
      </c>
      <c r="D27" s="18" t="n">
        <f aca="false">D21*1000</f>
        <v>59650.5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2026-08-24T23:40:58Z</dcterms:created>
  <dc:creator>openpyxl</dc:creator>
  <dc:description/>
  <dc:language>en-US</dc:language>
  <cp:lastModifiedBy/>
  <dcterms:modified xsi:type="dcterms:W3CDTF">2026-08-24T23:41:13Z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